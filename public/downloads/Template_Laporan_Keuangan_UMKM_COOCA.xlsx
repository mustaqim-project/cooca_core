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ba Rugi Sederhan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<sst xmlns="http://schemas.openxmlformats.org/spreadsheetml/2006/main" uniqueCount="13">
  <si>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LABA RUGI SEDERHANA UMKM — COOCA.ID</t>
  </si>
  <si>
    <t>Komponen Laporan Finansial</t>
  </si>
  <si>
    <t>Bulan Lalu (Rp)</t>
  </si>
  <si>
    <t>Bulan Ini (Rp)</t>
  </si>
  <si>
    <t>Pertumbuhan (%)</t>
  </si>
  <si>
    <t>1. Total Penjualan (Omzet)</t>
  </si>
  <si>
    <t>2. Biaya Pokok Penjualan (HPP Bahan)</t>
  </si>
  <si>
    <t>LABA KOTOR (GROSS PROFIT)</t>
  </si>
  <si>
    <t>3. Beban Gaji Karyawan</t>
  </si>
  <si>
    <t>4. Beban Listrik, Air &amp; Internet</t>
  </si>
  <si>
    <t>5. Sewa Tempat &amp; Penyusutan</t>
  </si>
  <si>
    <t>TOTAL BEBAN OPERASIONAL</t>
  </si>
  <si>
    <t>LABA BERSIH USAHA (NET PROFIT)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</si>
</sst>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0010B981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B98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43.561" bestFit="true" customWidth="true" style="0"/>
    <col min="2" max="2" width="18.71" bestFit="true" customWidth="true" style="0"/>
    <col min="3" max="3" width="17.567" bestFit="true" customWidth="true" style="0"/>
    <col min="4" max="4" width="21.138" bestFit="true" customWidth="true" style="0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>
        <v>25000000</v>
      </c>
      <c r="C4">
        <v>32000000</v>
      </c>
      <c r="D4">
        <f>(C4-B4)/B4*100</f>
        <v>28</v>
      </c>
    </row>
    <row r="5" spans="1:4">
      <c r="A5" t="s">
        <v>6</v>
      </c>
      <c r="B5">
        <v>14000000</v>
      </c>
      <c r="C5">
        <v>17500000</v>
      </c>
      <c r="D5">
        <f>(C5-B5)/B5*100</f>
        <v>25</v>
      </c>
    </row>
    <row r="6" spans="1:4">
      <c r="A6" t="s">
        <v>7</v>
      </c>
      <c r="B6">
        <f>B4-B5</f>
        <v>11000000</v>
      </c>
      <c r="C6">
        <f>C4-C5</f>
        <v>14500000</v>
      </c>
      <c r="D6">
        <f>(C6-B6)/B6*100</f>
        <v>31.81818181818182</v>
      </c>
    </row>
    <row r="7" spans="1:4">
      <c r="A7" t="s">
        <v>8</v>
      </c>
      <c r="B7">
        <v>4000000</v>
      </c>
      <c r="C7">
        <v>4500000</v>
      </c>
      <c r="D7">
        <f>(C7-B7)/B7*100</f>
        <v>12.5</v>
      </c>
    </row>
    <row r="8" spans="1:4">
      <c r="A8" t="s">
        <v>9</v>
      </c>
      <c r="B8">
        <v>850000</v>
      </c>
      <c r="C8">
        <v>950000</v>
      </c>
      <c r="D8">
        <f>(C8-B8)/B8*100</f>
        <v>11.76470588235294</v>
      </c>
    </row>
    <row r="9" spans="1:4">
      <c r="A9" t="s">
        <v>10</v>
      </c>
      <c r="B9">
        <v>1500000</v>
      </c>
      <c r="C9">
        <v>1500000</v>
      </c>
      <c r="D9">
        <f>(C9-B9)/B9*100</f>
        <v>0</v>
      </c>
    </row>
    <row r="10" spans="1:4">
      <c r="A10" t="s">
        <v>11</v>
      </c>
      <c r="B10">
        <f>SUM(B7:B9)</f>
        <v>6350000</v>
      </c>
      <c r="C10">
        <f>SUM(C7:C9)</f>
        <v>6950000</v>
      </c>
      <c r="D10">
        <f>(C10-B10)/B10*100</f>
        <v>9.44881889763779</v>
      </c>
    </row>
    <row r="11" spans="1:4">
      <c r="A11" t="s">
        <v>12</v>
      </c>
      <c r="B11">
        <f>B6-B10</f>
        <v>4650000</v>
      </c>
      <c r="C11">
        <f>C6-C10</f>
        <v>7550000</v>
      </c>
      <c r="D11">
        <f>(C11-B11)/B11*100</f>
        <v>62.36559139784946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Laba Rugi Sederhana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2026-09-14T05:08:59+00:00</dcterms:created>
  <dcterms:modified xsi:type="dcterms:W3CDTF">2026-09-14T05:08:59+00:00</dcterms:modified>
  <dc:title>Untitled Spreadsheet</dc:title>
  <dc:description/>
  <dc:subject/>
  <cp:keywords/>
  <cp:category/>
</cp:coreProperties>
</file>